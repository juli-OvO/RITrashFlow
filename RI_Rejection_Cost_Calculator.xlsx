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jection Cost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<sst xmlns="http://schemas.openxmlformats.org/spreadsheetml/2006/main" count="79" uniqueCount="64">
  <si>
    <t xml:space="preserve">Rhode Island Municipal Recycling Rejection Cost Calculator (FY2025)</t>
  </si>
  <si>
    <t xml:space="preserve">ASSUMPTIONS (blue = user inputs)</t>
  </si>
  <si>
    <t xml:space="preserve">Under-cap tipping fee ($/ton)</t>
  </si>
  <si>
    <t xml:space="preserve">Over-cap tipping fee ($/ton)</t>
  </si>
  <si>
    <t xml:space="preserve">Source: RIRRC FY25 tipping fee schedule (Madisoni, RIRRC, personal communication, 2025)</t>
  </si>
  <si>
    <t xml:space="preserve">Municipality</t>
  </si>
  <si>
    <t xml:space="preserve">Rejected
(lbs/HH)</t>
  </si>
  <si>
    <t xml:space="preserve">MRF Recycling
(lbs/HH)</t>
  </si>
  <si>
    <t xml:space="preserve">Rejection
Rate (%)</t>
  </si>
  <si>
    <t xml:space="preserve">HH Served</t>
  </si>
  <si>
    <t xml:space="preserve">Total Rejected
(lbs)</t>
  </si>
  <si>
    <t xml:space="preserve">Total Rejected
(tons)</t>
  </si>
  <si>
    <t xml:space="preserve">Est. Cost
Under-Cap ($)</t>
  </si>
  <si>
    <t xml:space="preserve">Est. Cost
Over-Cap ($)</t>
  </si>
  <si>
    <t xml:space="preserve">Notes</t>
  </si>
  <si>
    <t xml:space="preserve">Providence</t>
  </si>
  <si>
    <t xml:space="preserve">⚠ High contamination</t>
  </si>
  <si>
    <t xml:space="preserve">Cranston</t>
  </si>
  <si>
    <t xml:space="preserve">Pawtucket</t>
  </si>
  <si>
    <t xml:space="preserve">West Warwick</t>
  </si>
  <si>
    <t xml:space="preserve">Johnston</t>
  </si>
  <si>
    <t xml:space="preserve">East Providence</t>
  </si>
  <si>
    <t xml:space="preserve">Central Falls</t>
  </si>
  <si>
    <t xml:space="preserve">North Providence</t>
  </si>
  <si>
    <t xml:space="preserve">Tiverton</t>
  </si>
  <si>
    <t xml:space="preserve">Middletown</t>
  </si>
  <si>
    <t xml:space="preserve">Scituate</t>
  </si>
  <si>
    <t xml:space="preserve">North Smithfield</t>
  </si>
  <si>
    <t xml:space="preserve">East Greenwich</t>
  </si>
  <si>
    <t xml:space="preserve">Foster</t>
  </si>
  <si>
    <t xml:space="preserve">Cumberland</t>
  </si>
  <si>
    <t xml:space="preserve">Burrillville</t>
  </si>
  <si>
    <t xml:space="preserve">Barrington</t>
  </si>
  <si>
    <t xml:space="preserve">Coventry</t>
  </si>
  <si>
    <t xml:space="preserve">Lincoln</t>
  </si>
  <si>
    <t xml:space="preserve">Richmond/Hopkinton</t>
  </si>
  <si>
    <t xml:space="preserve">Smithfield</t>
  </si>
  <si>
    <t xml:space="preserve">Warwick</t>
  </si>
  <si>
    <t xml:space="preserve">Woonsocket</t>
  </si>
  <si>
    <t xml:space="preserve">Bristol</t>
  </si>
  <si>
    <t xml:space="preserve">Glocester</t>
  </si>
  <si>
    <t xml:space="preserve">Charlestown</t>
  </si>
  <si>
    <t xml:space="preserve">✓ Zero rejection</t>
  </si>
  <si>
    <t xml:space="preserve">Exeter</t>
  </si>
  <si>
    <t xml:space="preserve">Jamestown</t>
  </si>
  <si>
    <t xml:space="preserve">Little Compton</t>
  </si>
  <si>
    <t xml:space="preserve">Narragansett</t>
  </si>
  <si>
    <t xml:space="preserve">New Shoreham</t>
  </si>
  <si>
    <t xml:space="preserve">Newport</t>
  </si>
  <si>
    <t xml:space="preserve">North Kingstown</t>
  </si>
  <si>
    <t xml:space="preserve">Portsmouth</t>
  </si>
  <si>
    <t xml:space="preserve">South Kingstown</t>
  </si>
  <si>
    <t xml:space="preserve">Warren</t>
  </si>
  <si>
    <t xml:space="preserve">West Greenwich</t>
  </si>
  <si>
    <t xml:space="preserve">Westerly</t>
  </si>
  <si>
    <t xml:space="preserve">STATE TOTAL / AVG</t>
  </si>
  <si>
    <t xml:space="preserve">LEGEND</t>
  </si>
  <si>
    <t xml:space="preserve">High contamination (&gt;100 lbs/HH rejected)</t>
  </si>
  <si>
    <t xml:space="preserve">Zero rejection — model performance</t>
  </si>
  <si>
    <t xml:space="preserve">NOTES</t>
  </si>
  <si>
    <t xml:space="preserve">• Cost estimates use FY25 RIRRC tipping fee rates provided by Madisoni, RIRRC Programs (personal communication, 2025)</t>
  </si>
  <si>
    <t xml:space="preserve">• Under-cap rate ($63/ton) is a conservative estimate; over-cap rate ($115/ton) is a liberal estimate</t>
  </si>
  <si>
    <t xml:space="preserve">• Total rejected lbs = Rejected (lbs/HH) × HH Served. Converted to tons by dividing by 2,000</t>
  </si>
  <si>
    <t xml:space="preserve">• Data source: 2025 How Is My City or Town Doing?, RIRRC (rirrc.org/about/reports-data/how-is-my-city-town-doing)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</si>
</sst>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.0"/>
    <numFmt numFmtId="168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CCCCCC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2D6A4F"/>
        <bgColor rgb="FF666666"/>
      </patternFill>
    </fill>
    <fill>
      <patternFill patternType="solid">
        <fgColor rgb="FFFFE5E5"/>
        <bgColor rgb="FFE8E8E8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E5FFE5"/>
        <bgColor rgb="FFF5F5F5"/>
      </patternFill>
    </fill>
    <fill>
      <patternFill patternType="solid">
        <fgColor rgb="FFE8E8E8"/>
        <bgColor rgb="FFFFE5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5F5F5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FE5"/>
      <rgbColor rgb="FFFFFF99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F3460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4" t="n">
        <v>63</v>
      </c>
      <c r="C3" s="3" t="s">
        <v>3</v>
      </c>
      <c r="D3" s="4" t="n">
        <v>115</v>
      </c>
      <c r="E3" s="5" t="s">
        <v>4</v>
      </c>
      <c r="F3" s="5"/>
      <c r="G3" s="5"/>
      <c r="H3" s="5"/>
      <c r="I3" s="5"/>
      <c r="J3" s="5"/>
    </row>
    <row r="4" customFormat="false" ht="31.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</row>
    <row r="5" customFormat="false" ht="15" hidden="false" customHeight="false" outlineLevel="0" collapsed="false">
      <c r="A5" s="7" t="s">
        <v>15</v>
      </c>
      <c r="B5" s="8" t="n">
        <v>654</v>
      </c>
      <c r="C5" s="8" t="n">
        <v>78</v>
      </c>
      <c r="D5" s="9" t="n">
        <v>0.893</v>
      </c>
      <c r="E5" s="8" t="n">
        <v>51541</v>
      </c>
      <c r="F5" s="10" t="n">
        <f aca="false">B5*E5</f>
        <v>33707814</v>
      </c>
      <c r="G5" s="11" t="n">
        <f aca="false">F5/2000</f>
        <v>16853.907</v>
      </c>
      <c r="H5" s="12" t="n">
        <f aca="false">G5*$B$3</f>
        <v>1061796.141</v>
      </c>
      <c r="I5" s="12" t="n">
        <f aca="false">G5*$D$3</f>
        <v>1938199.305</v>
      </c>
      <c r="J5" s="13" t="s">
        <v>16</v>
      </c>
    </row>
    <row r="6" customFormat="false" ht="15" hidden="false" customHeight="false" outlineLevel="0" collapsed="false">
      <c r="A6" s="7" t="s">
        <v>17</v>
      </c>
      <c r="B6" s="8" t="n">
        <v>201</v>
      </c>
      <c r="C6" s="8" t="n">
        <v>371</v>
      </c>
      <c r="D6" s="9" t="n">
        <v>0.351</v>
      </c>
      <c r="E6" s="8" t="n">
        <v>29275</v>
      </c>
      <c r="F6" s="10" t="n">
        <f aca="false">B6*E6</f>
        <v>5884275</v>
      </c>
      <c r="G6" s="11" t="n">
        <f aca="false">F6/2000</f>
        <v>2942.1375</v>
      </c>
      <c r="H6" s="12" t="n">
        <f aca="false">G6*$B$3</f>
        <v>185354.6625</v>
      </c>
      <c r="I6" s="12" t="n">
        <f aca="false">G6*$D$3</f>
        <v>338345.8125</v>
      </c>
      <c r="J6" s="13" t="s">
        <v>16</v>
      </c>
    </row>
    <row r="7" customFormat="false" ht="15" hidden="false" customHeight="false" outlineLevel="0" collapsed="false">
      <c r="A7" s="7" t="s">
        <v>18</v>
      </c>
      <c r="B7" s="8" t="n">
        <v>178</v>
      </c>
      <c r="C7" s="8" t="n">
        <v>252</v>
      </c>
      <c r="D7" s="9" t="n">
        <v>0.414</v>
      </c>
      <c r="E7" s="8" t="n">
        <v>30000</v>
      </c>
      <c r="F7" s="10" t="n">
        <f aca="false">B7*E7</f>
        <v>5340000</v>
      </c>
      <c r="G7" s="11" t="n">
        <f aca="false">F7/2000</f>
        <v>2670</v>
      </c>
      <c r="H7" s="12" t="n">
        <f aca="false">G7*$B$3</f>
        <v>168210</v>
      </c>
      <c r="I7" s="12" t="n">
        <f aca="false">G7*$D$3</f>
        <v>307050</v>
      </c>
      <c r="J7" s="13" t="s">
        <v>16</v>
      </c>
    </row>
    <row r="8" customFormat="false" ht="15" hidden="false" customHeight="false" outlineLevel="0" collapsed="false">
      <c r="A8" s="7" t="s">
        <v>19</v>
      </c>
      <c r="B8" s="8" t="n">
        <v>112</v>
      </c>
      <c r="C8" s="8" t="n">
        <v>366</v>
      </c>
      <c r="D8" s="9" t="n">
        <v>0.234</v>
      </c>
      <c r="E8" s="8" t="n">
        <v>9500</v>
      </c>
      <c r="F8" s="10" t="n">
        <f aca="false">B8*E8</f>
        <v>1064000</v>
      </c>
      <c r="G8" s="11" t="n">
        <f aca="false">F8/2000</f>
        <v>532</v>
      </c>
      <c r="H8" s="12" t="n">
        <f aca="false">G8*$B$3</f>
        <v>33516</v>
      </c>
      <c r="I8" s="12" t="n">
        <f aca="false">G8*$D$3</f>
        <v>61180</v>
      </c>
      <c r="J8" s="13" t="s">
        <v>16</v>
      </c>
    </row>
    <row r="9" customFormat="false" ht="15" hidden="false" customHeight="false" outlineLevel="0" collapsed="false">
      <c r="A9" s="14" t="s">
        <v>20</v>
      </c>
      <c r="B9" s="15" t="n">
        <v>82</v>
      </c>
      <c r="C9" s="15" t="n">
        <v>456</v>
      </c>
      <c r="D9" s="16" t="n">
        <v>0.152</v>
      </c>
      <c r="E9" s="15" t="n">
        <v>9867</v>
      </c>
      <c r="F9" s="17" t="n">
        <f aca="false">B9*E9</f>
        <v>809094</v>
      </c>
      <c r="G9" s="18" t="n">
        <f aca="false">F9/2000</f>
        <v>404.547</v>
      </c>
      <c r="H9" s="19" t="n">
        <f aca="false">G9*$B$3</f>
        <v>25486.461</v>
      </c>
      <c r="I9" s="19" t="n">
        <f aca="false">G9*$D$3</f>
        <v>46522.905</v>
      </c>
      <c r="J9" s="20"/>
    </row>
    <row r="10" customFormat="false" ht="15" hidden="false" customHeight="false" outlineLevel="0" collapsed="false">
      <c r="A10" s="21" t="s">
        <v>21</v>
      </c>
      <c r="B10" s="22" t="n">
        <v>70</v>
      </c>
      <c r="C10" s="22" t="n">
        <v>372</v>
      </c>
      <c r="D10" s="23" t="n">
        <v>0.158</v>
      </c>
      <c r="E10" s="22" t="n">
        <v>17022</v>
      </c>
      <c r="F10" s="24" t="n">
        <f aca="false">B10*E10</f>
        <v>1191540</v>
      </c>
      <c r="G10" s="25" t="n">
        <f aca="false">F10/2000</f>
        <v>595.77</v>
      </c>
      <c r="H10" s="26" t="n">
        <f aca="false">G10*$B$3</f>
        <v>37533.51</v>
      </c>
      <c r="I10" s="26" t="n">
        <f aca="false">G10*$D$3</f>
        <v>68513.55</v>
      </c>
      <c r="J10" s="27"/>
    </row>
    <row r="11" customFormat="false" ht="15" hidden="false" customHeight="false" outlineLevel="0" collapsed="false">
      <c r="A11" s="14" t="s">
        <v>22</v>
      </c>
      <c r="B11" s="15" t="n">
        <v>66</v>
      </c>
      <c r="C11" s="15" t="n">
        <v>497</v>
      </c>
      <c r="D11" s="16" t="n">
        <v>0.117</v>
      </c>
      <c r="E11" s="15" t="n">
        <v>5293</v>
      </c>
      <c r="F11" s="17" t="n">
        <f aca="false">B11*E11</f>
        <v>349338</v>
      </c>
      <c r="G11" s="18" t="n">
        <f aca="false">F11/2000</f>
        <v>174.669</v>
      </c>
      <c r="H11" s="19" t="n">
        <f aca="false">G11*$B$3</f>
        <v>11004.147</v>
      </c>
      <c r="I11" s="19" t="n">
        <f aca="false">G11*$D$3</f>
        <v>20086.935</v>
      </c>
      <c r="J11" s="20"/>
    </row>
    <row r="12" customFormat="false" ht="15" hidden="false" customHeight="false" outlineLevel="0" collapsed="false">
      <c r="A12" s="21" t="s">
        <v>23</v>
      </c>
      <c r="B12" s="22" t="n">
        <v>58</v>
      </c>
      <c r="C12" s="22" t="n">
        <v>358</v>
      </c>
      <c r="D12" s="23" t="n">
        <v>0.139</v>
      </c>
      <c r="E12" s="22" t="n">
        <v>12545</v>
      </c>
      <c r="F12" s="24" t="n">
        <f aca="false">B12*E12</f>
        <v>727610</v>
      </c>
      <c r="G12" s="25" t="n">
        <f aca="false">F12/2000</f>
        <v>363.805</v>
      </c>
      <c r="H12" s="26" t="n">
        <f aca="false">G12*$B$3</f>
        <v>22919.715</v>
      </c>
      <c r="I12" s="26" t="n">
        <f aca="false">G12*$D$3</f>
        <v>41837.575</v>
      </c>
      <c r="J12" s="27"/>
    </row>
    <row r="13" customFormat="false" ht="15" hidden="false" customHeight="false" outlineLevel="0" collapsed="false">
      <c r="A13" s="14" t="s">
        <v>24</v>
      </c>
      <c r="B13" s="15" t="n">
        <v>38</v>
      </c>
      <c r="C13" s="15" t="n">
        <v>424</v>
      </c>
      <c r="D13" s="16" t="n">
        <v>0.082</v>
      </c>
      <c r="E13" s="15" t="n">
        <v>6782</v>
      </c>
      <c r="F13" s="17" t="n">
        <f aca="false">B13*E13</f>
        <v>257716</v>
      </c>
      <c r="G13" s="18" t="n">
        <f aca="false">F13/2000</f>
        <v>128.858</v>
      </c>
      <c r="H13" s="19" t="n">
        <f aca="false">G13*$B$3</f>
        <v>8118.054</v>
      </c>
      <c r="I13" s="19" t="n">
        <f aca="false">G13*$D$3</f>
        <v>14818.67</v>
      </c>
      <c r="J13" s="20"/>
    </row>
    <row r="14" customFormat="false" ht="15" hidden="false" customHeight="false" outlineLevel="0" collapsed="false">
      <c r="A14" s="21" t="s">
        <v>25</v>
      </c>
      <c r="B14" s="22" t="n">
        <v>32</v>
      </c>
      <c r="C14" s="22" t="n">
        <v>585</v>
      </c>
      <c r="D14" s="23" t="n">
        <v>0.052</v>
      </c>
      <c r="E14" s="22" t="n">
        <v>4733</v>
      </c>
      <c r="F14" s="24" t="n">
        <f aca="false">B14*E14</f>
        <v>151456</v>
      </c>
      <c r="G14" s="25" t="n">
        <f aca="false">F14/2000</f>
        <v>75.728</v>
      </c>
      <c r="H14" s="26" t="n">
        <f aca="false">G14*$B$3</f>
        <v>4770.864</v>
      </c>
      <c r="I14" s="26" t="n">
        <f aca="false">G14*$D$3</f>
        <v>8708.72</v>
      </c>
      <c r="J14" s="27"/>
    </row>
    <row r="15" customFormat="false" ht="15" hidden="false" customHeight="false" outlineLevel="0" collapsed="false">
      <c r="A15" s="14" t="s">
        <v>26</v>
      </c>
      <c r="B15" s="15" t="n">
        <v>22</v>
      </c>
      <c r="C15" s="15" t="n">
        <v>522</v>
      </c>
      <c r="D15" s="16" t="n">
        <v>0.04</v>
      </c>
      <c r="E15" s="15" t="n">
        <v>4184</v>
      </c>
      <c r="F15" s="17" t="n">
        <f aca="false">B15*E15</f>
        <v>92048</v>
      </c>
      <c r="G15" s="18" t="n">
        <f aca="false">F15/2000</f>
        <v>46.024</v>
      </c>
      <c r="H15" s="19" t="n">
        <f aca="false">G15*$B$3</f>
        <v>2899.512</v>
      </c>
      <c r="I15" s="19" t="n">
        <f aca="false">G15*$D$3</f>
        <v>5292.76</v>
      </c>
      <c r="J15" s="20"/>
    </row>
    <row r="16" customFormat="false" ht="15" hidden="false" customHeight="false" outlineLevel="0" collapsed="false">
      <c r="A16" s="21" t="s">
        <v>27</v>
      </c>
      <c r="B16" s="22" t="n">
        <v>20</v>
      </c>
      <c r="C16" s="22" t="n">
        <v>471</v>
      </c>
      <c r="D16" s="23" t="n">
        <v>0.041</v>
      </c>
      <c r="E16" s="22" t="n">
        <v>4537</v>
      </c>
      <c r="F16" s="24" t="n">
        <f aca="false">B16*E16</f>
        <v>90740</v>
      </c>
      <c r="G16" s="25" t="n">
        <f aca="false">F16/2000</f>
        <v>45.37</v>
      </c>
      <c r="H16" s="26" t="n">
        <f aca="false">G16*$B$3</f>
        <v>2858.31</v>
      </c>
      <c r="I16" s="26" t="n">
        <f aca="false">G16*$D$3</f>
        <v>5217.55</v>
      </c>
      <c r="J16" s="27"/>
    </row>
    <row r="17" customFormat="false" ht="15" hidden="false" customHeight="false" outlineLevel="0" collapsed="false">
      <c r="A17" s="14" t="s">
        <v>28</v>
      </c>
      <c r="B17" s="15" t="n">
        <v>19</v>
      </c>
      <c r="C17" s="15" t="n">
        <v>601</v>
      </c>
      <c r="D17" s="16" t="n">
        <v>0.031</v>
      </c>
      <c r="E17" s="15" t="n">
        <v>4332</v>
      </c>
      <c r="F17" s="17" t="n">
        <f aca="false">B17*E17</f>
        <v>82308</v>
      </c>
      <c r="G17" s="18" t="n">
        <f aca="false">F17/2000</f>
        <v>41.154</v>
      </c>
      <c r="H17" s="19" t="n">
        <f aca="false">G17*$B$3</f>
        <v>2592.702</v>
      </c>
      <c r="I17" s="19" t="n">
        <f aca="false">G17*$D$3</f>
        <v>4732.71</v>
      </c>
      <c r="J17" s="20"/>
    </row>
    <row r="18" customFormat="false" ht="15" hidden="false" customHeight="false" outlineLevel="0" collapsed="false">
      <c r="A18" s="21" t="s">
        <v>29</v>
      </c>
      <c r="B18" s="22" t="n">
        <v>15</v>
      </c>
      <c r="C18" s="22" t="n">
        <v>578</v>
      </c>
      <c r="D18" s="23" t="n">
        <v>0.025</v>
      </c>
      <c r="E18" s="22" t="n">
        <v>1575</v>
      </c>
      <c r="F18" s="24" t="n">
        <f aca="false">B18*E18</f>
        <v>23625</v>
      </c>
      <c r="G18" s="25" t="n">
        <f aca="false">F18/2000</f>
        <v>11.8125</v>
      </c>
      <c r="H18" s="26" t="n">
        <f aca="false">G18*$B$3</f>
        <v>744.1875</v>
      </c>
      <c r="I18" s="26" t="n">
        <f aca="false">G18*$D$3</f>
        <v>1358.4375</v>
      </c>
      <c r="J18" s="27"/>
    </row>
    <row r="19" customFormat="false" ht="15" hidden="false" customHeight="false" outlineLevel="0" collapsed="false">
      <c r="A19" s="14" t="s">
        <v>30</v>
      </c>
      <c r="B19" s="15" t="n">
        <v>14</v>
      </c>
      <c r="C19" s="15" t="n">
        <v>453</v>
      </c>
      <c r="D19" s="16" t="n">
        <v>0.03</v>
      </c>
      <c r="E19" s="15" t="n">
        <v>13922</v>
      </c>
      <c r="F19" s="17" t="n">
        <f aca="false">B19*E19</f>
        <v>194908</v>
      </c>
      <c r="G19" s="18" t="n">
        <f aca="false">F19/2000</f>
        <v>97.454</v>
      </c>
      <c r="H19" s="19" t="n">
        <f aca="false">G19*$B$3</f>
        <v>6139.602</v>
      </c>
      <c r="I19" s="19" t="n">
        <f aca="false">G19*$D$3</f>
        <v>11207.21</v>
      </c>
      <c r="J19" s="20"/>
    </row>
    <row r="20" customFormat="false" ht="15" hidden="false" customHeight="false" outlineLevel="0" collapsed="false">
      <c r="A20" s="21" t="s">
        <v>31</v>
      </c>
      <c r="B20" s="22" t="n">
        <v>12</v>
      </c>
      <c r="C20" s="22" t="n">
        <v>537</v>
      </c>
      <c r="D20" s="23" t="n">
        <v>0.022</v>
      </c>
      <c r="E20" s="22" t="n">
        <v>6022</v>
      </c>
      <c r="F20" s="24" t="n">
        <f aca="false">B20*E20</f>
        <v>72264</v>
      </c>
      <c r="G20" s="25" t="n">
        <f aca="false">F20/2000</f>
        <v>36.132</v>
      </c>
      <c r="H20" s="26" t="n">
        <f aca="false">G20*$B$3</f>
        <v>2276.316</v>
      </c>
      <c r="I20" s="26" t="n">
        <f aca="false">G20*$D$3</f>
        <v>4155.18</v>
      </c>
      <c r="J20" s="27"/>
    </row>
    <row r="21" customFormat="false" ht="15" hidden="false" customHeight="false" outlineLevel="0" collapsed="false">
      <c r="A21" s="14" t="s">
        <v>32</v>
      </c>
      <c r="B21" s="15" t="n">
        <v>9</v>
      </c>
      <c r="C21" s="15" t="n">
        <v>622</v>
      </c>
      <c r="D21" s="16" t="n">
        <v>0.014</v>
      </c>
      <c r="E21" s="15" t="n">
        <v>6050</v>
      </c>
      <c r="F21" s="17" t="n">
        <f aca="false">B21*E21</f>
        <v>54450</v>
      </c>
      <c r="G21" s="18" t="n">
        <f aca="false">F21/2000</f>
        <v>27.225</v>
      </c>
      <c r="H21" s="19" t="n">
        <f aca="false">G21*$B$3</f>
        <v>1715.175</v>
      </c>
      <c r="I21" s="19" t="n">
        <f aca="false">G21*$D$3</f>
        <v>3130.875</v>
      </c>
      <c r="J21" s="20"/>
    </row>
    <row r="22" customFormat="false" ht="15" hidden="false" customHeight="false" outlineLevel="0" collapsed="false">
      <c r="A22" s="21" t="s">
        <v>33</v>
      </c>
      <c r="B22" s="22" t="n">
        <v>9</v>
      </c>
      <c r="C22" s="22" t="n">
        <v>526</v>
      </c>
      <c r="D22" s="23" t="n">
        <v>0.017</v>
      </c>
      <c r="E22" s="22" t="n">
        <v>12884</v>
      </c>
      <c r="F22" s="24" t="n">
        <f aca="false">B22*E22</f>
        <v>115956</v>
      </c>
      <c r="G22" s="25" t="n">
        <f aca="false">F22/2000</f>
        <v>57.978</v>
      </c>
      <c r="H22" s="26" t="n">
        <f aca="false">G22*$B$3</f>
        <v>3652.614</v>
      </c>
      <c r="I22" s="26" t="n">
        <f aca="false">G22*$D$3</f>
        <v>6667.47</v>
      </c>
      <c r="J22" s="27"/>
    </row>
    <row r="23" customFormat="false" ht="15" hidden="false" customHeight="false" outlineLevel="0" collapsed="false">
      <c r="A23" s="14" t="s">
        <v>34</v>
      </c>
      <c r="B23" s="15" t="n">
        <v>9</v>
      </c>
      <c r="C23" s="15" t="n">
        <v>660</v>
      </c>
      <c r="D23" s="16" t="n">
        <v>0.013</v>
      </c>
      <c r="E23" s="15" t="n">
        <v>6114</v>
      </c>
      <c r="F23" s="17" t="n">
        <f aca="false">B23*E23</f>
        <v>55026</v>
      </c>
      <c r="G23" s="18" t="n">
        <f aca="false">F23/2000</f>
        <v>27.513</v>
      </c>
      <c r="H23" s="19" t="n">
        <f aca="false">G23*$B$3</f>
        <v>1733.319</v>
      </c>
      <c r="I23" s="19" t="n">
        <f aca="false">G23*$D$3</f>
        <v>3163.995</v>
      </c>
      <c r="J23" s="20"/>
    </row>
    <row r="24" customFormat="false" ht="15" hidden="false" customHeight="false" outlineLevel="0" collapsed="false">
      <c r="A24" s="21" t="s">
        <v>35</v>
      </c>
      <c r="B24" s="22" t="n">
        <v>8</v>
      </c>
      <c r="C24" s="22" t="n">
        <v>441</v>
      </c>
      <c r="D24" s="23" t="n">
        <v>0.018</v>
      </c>
      <c r="E24" s="22" t="n">
        <v>2500</v>
      </c>
      <c r="F24" s="24" t="n">
        <f aca="false">B24*E24</f>
        <v>20000</v>
      </c>
      <c r="G24" s="25" t="n">
        <f aca="false">F24/2000</f>
        <v>10</v>
      </c>
      <c r="H24" s="26" t="n">
        <f aca="false">G24*$B$3</f>
        <v>630</v>
      </c>
      <c r="I24" s="26" t="n">
        <f aca="false">G24*$D$3</f>
        <v>1150</v>
      </c>
      <c r="J24" s="27"/>
    </row>
    <row r="25" customFormat="false" ht="15" hidden="false" customHeight="false" outlineLevel="0" collapsed="false">
      <c r="A25" s="14" t="s">
        <v>36</v>
      </c>
      <c r="B25" s="15" t="n">
        <v>7</v>
      </c>
      <c r="C25" s="15" t="n">
        <v>514</v>
      </c>
      <c r="D25" s="16" t="n">
        <v>0.013</v>
      </c>
      <c r="E25" s="15" t="n">
        <v>7603</v>
      </c>
      <c r="F25" s="17" t="n">
        <f aca="false">B25*E25</f>
        <v>53221</v>
      </c>
      <c r="G25" s="18" t="n">
        <f aca="false">F25/2000</f>
        <v>26.6105</v>
      </c>
      <c r="H25" s="19" t="n">
        <f aca="false">G25*$B$3</f>
        <v>1676.4615</v>
      </c>
      <c r="I25" s="19" t="n">
        <f aca="false">G25*$D$3</f>
        <v>3060.2075</v>
      </c>
      <c r="J25" s="20"/>
    </row>
    <row r="26" customFormat="false" ht="15" hidden="false" customHeight="false" outlineLevel="0" collapsed="false">
      <c r="A26" s="21" t="s">
        <v>37</v>
      </c>
      <c r="B26" s="22" t="n">
        <v>5</v>
      </c>
      <c r="C26" s="22" t="n">
        <v>537</v>
      </c>
      <c r="D26" s="23" t="n">
        <v>0.009</v>
      </c>
      <c r="E26" s="22" t="n">
        <v>31503</v>
      </c>
      <c r="F26" s="24" t="n">
        <f aca="false">B26*E26</f>
        <v>157515</v>
      </c>
      <c r="G26" s="25" t="n">
        <f aca="false">F26/2000</f>
        <v>78.7575</v>
      </c>
      <c r="H26" s="26" t="n">
        <f aca="false">G26*$B$3</f>
        <v>4961.7225</v>
      </c>
      <c r="I26" s="26" t="n">
        <f aca="false">G26*$D$3</f>
        <v>9057.1125</v>
      </c>
      <c r="J26" s="27"/>
    </row>
    <row r="27" customFormat="false" ht="15" hidden="false" customHeight="false" outlineLevel="0" collapsed="false">
      <c r="A27" s="14" t="s">
        <v>38</v>
      </c>
      <c r="B27" s="15" t="n">
        <v>5</v>
      </c>
      <c r="C27" s="15" t="n">
        <v>474</v>
      </c>
      <c r="D27" s="16" t="n">
        <v>0.01</v>
      </c>
      <c r="E27" s="15" t="n">
        <v>10543</v>
      </c>
      <c r="F27" s="17" t="n">
        <f aca="false">B27*E27</f>
        <v>52715</v>
      </c>
      <c r="G27" s="18" t="n">
        <f aca="false">F27/2000</f>
        <v>26.3575</v>
      </c>
      <c r="H27" s="19" t="n">
        <f aca="false">G27*$B$3</f>
        <v>1660.5225</v>
      </c>
      <c r="I27" s="19" t="n">
        <f aca="false">G27*$D$3</f>
        <v>3031.1125</v>
      </c>
      <c r="J27" s="20"/>
    </row>
    <row r="28" customFormat="false" ht="15" hidden="false" customHeight="false" outlineLevel="0" collapsed="false">
      <c r="A28" s="21" t="s">
        <v>39</v>
      </c>
      <c r="B28" s="22" t="n">
        <v>3</v>
      </c>
      <c r="C28" s="22" t="n">
        <v>493</v>
      </c>
      <c r="D28" s="23" t="n">
        <v>0.006</v>
      </c>
      <c r="E28" s="22" t="n">
        <v>8700</v>
      </c>
      <c r="F28" s="24" t="n">
        <f aca="false">B28*E28</f>
        <v>26100</v>
      </c>
      <c r="G28" s="25" t="n">
        <f aca="false">F28/2000</f>
        <v>13.05</v>
      </c>
      <c r="H28" s="26" t="n">
        <f aca="false">G28*$B$3</f>
        <v>822.15</v>
      </c>
      <c r="I28" s="26" t="n">
        <f aca="false">G28*$D$3</f>
        <v>1500.75</v>
      </c>
      <c r="J28" s="27"/>
    </row>
    <row r="29" customFormat="false" ht="15" hidden="false" customHeight="false" outlineLevel="0" collapsed="false">
      <c r="A29" s="14" t="s">
        <v>40</v>
      </c>
      <c r="B29" s="15" t="n">
        <v>1</v>
      </c>
      <c r="C29" s="15" t="n">
        <v>371</v>
      </c>
      <c r="D29" s="16" t="n">
        <v>0.003</v>
      </c>
      <c r="E29" s="15" t="n">
        <v>3500</v>
      </c>
      <c r="F29" s="17" t="n">
        <f aca="false">B29*E29</f>
        <v>3500</v>
      </c>
      <c r="G29" s="18" t="n">
        <f aca="false">F29/2000</f>
        <v>1.75</v>
      </c>
      <c r="H29" s="19" t="n">
        <f aca="false">G29*$B$3</f>
        <v>110.25</v>
      </c>
      <c r="I29" s="19" t="n">
        <f aca="false">G29*$D$3</f>
        <v>201.25</v>
      </c>
      <c r="J29" s="20"/>
    </row>
    <row r="30" customFormat="false" ht="15" hidden="false" customHeight="false" outlineLevel="0" collapsed="false">
      <c r="A30" s="28" t="s">
        <v>41</v>
      </c>
      <c r="B30" s="29" t="n">
        <v>0</v>
      </c>
      <c r="C30" s="29" t="n">
        <v>196</v>
      </c>
      <c r="D30" s="30" t="n">
        <v>0</v>
      </c>
      <c r="E30" s="29" t="n">
        <v>2193</v>
      </c>
      <c r="F30" s="31" t="n">
        <f aca="false">B30*E30</f>
        <v>0</v>
      </c>
      <c r="G30" s="32" t="n">
        <f aca="false">F30/2000</f>
        <v>0</v>
      </c>
      <c r="H30" s="33" t="n">
        <f aca="false">G30*$B$3</f>
        <v>0</v>
      </c>
      <c r="I30" s="33" t="n">
        <f aca="false">G30*$D$3</f>
        <v>0</v>
      </c>
      <c r="J30" s="34" t="s">
        <v>42</v>
      </c>
    </row>
    <row r="31" customFormat="false" ht="15" hidden="false" customHeight="false" outlineLevel="0" collapsed="false">
      <c r="A31" s="28" t="s">
        <v>43</v>
      </c>
      <c r="B31" s="29" t="n">
        <v>0</v>
      </c>
      <c r="C31" s="29" t="n">
        <v>247</v>
      </c>
      <c r="D31" s="30" t="n">
        <v>0</v>
      </c>
      <c r="E31" s="29" t="n">
        <v>1800</v>
      </c>
      <c r="F31" s="31" t="n">
        <f aca="false">B31*E31</f>
        <v>0</v>
      </c>
      <c r="G31" s="32" t="n">
        <f aca="false">F31/2000</f>
        <v>0</v>
      </c>
      <c r="H31" s="33" t="n">
        <f aca="false">G31*$B$3</f>
        <v>0</v>
      </c>
      <c r="I31" s="33" t="n">
        <f aca="false">G31*$D$3</f>
        <v>0</v>
      </c>
      <c r="J31" s="34" t="s">
        <v>42</v>
      </c>
    </row>
    <row r="32" customFormat="false" ht="15" hidden="false" customHeight="false" outlineLevel="0" collapsed="false">
      <c r="A32" s="28" t="s">
        <v>44</v>
      </c>
      <c r="B32" s="29" t="n">
        <v>0</v>
      </c>
      <c r="C32" s="29" t="n">
        <v>670</v>
      </c>
      <c r="D32" s="30" t="n">
        <v>0</v>
      </c>
      <c r="E32" s="29" t="n">
        <v>2700</v>
      </c>
      <c r="F32" s="31" t="n">
        <f aca="false">B32*E32</f>
        <v>0</v>
      </c>
      <c r="G32" s="32" t="n">
        <f aca="false">F32/2000</f>
        <v>0</v>
      </c>
      <c r="H32" s="33" t="n">
        <f aca="false">G32*$B$3</f>
        <v>0</v>
      </c>
      <c r="I32" s="33" t="n">
        <f aca="false">G32*$D$3</f>
        <v>0</v>
      </c>
      <c r="J32" s="34" t="s">
        <v>42</v>
      </c>
    </row>
    <row r="33" customFormat="false" ht="15" hidden="false" customHeight="false" outlineLevel="0" collapsed="false">
      <c r="A33" s="28" t="s">
        <v>45</v>
      </c>
      <c r="B33" s="29" t="n">
        <v>0</v>
      </c>
      <c r="C33" s="29" t="n">
        <v>337</v>
      </c>
      <c r="D33" s="30" t="n">
        <v>0</v>
      </c>
      <c r="E33" s="29" t="n">
        <v>1500</v>
      </c>
      <c r="F33" s="31" t="n">
        <f aca="false">B33*E33</f>
        <v>0</v>
      </c>
      <c r="G33" s="32" t="n">
        <f aca="false">F33/2000</f>
        <v>0</v>
      </c>
      <c r="H33" s="33" t="n">
        <f aca="false">G33*$B$3</f>
        <v>0</v>
      </c>
      <c r="I33" s="33" t="n">
        <f aca="false">G33*$D$3</f>
        <v>0</v>
      </c>
      <c r="J33" s="34" t="s">
        <v>42</v>
      </c>
    </row>
    <row r="34" customFormat="false" ht="15" hidden="false" customHeight="false" outlineLevel="0" collapsed="false">
      <c r="A34" s="28" t="s">
        <v>46</v>
      </c>
      <c r="B34" s="29" t="n">
        <v>0</v>
      </c>
      <c r="C34" s="29" t="n">
        <v>542</v>
      </c>
      <c r="D34" s="30" t="n">
        <v>0</v>
      </c>
      <c r="E34" s="29" t="n">
        <v>6159</v>
      </c>
      <c r="F34" s="31" t="n">
        <f aca="false">B34*E34</f>
        <v>0</v>
      </c>
      <c r="G34" s="32" t="n">
        <f aca="false">F34/2000</f>
        <v>0</v>
      </c>
      <c r="H34" s="33" t="n">
        <f aca="false">G34*$B$3</f>
        <v>0</v>
      </c>
      <c r="I34" s="33" t="n">
        <f aca="false">G34*$D$3</f>
        <v>0</v>
      </c>
      <c r="J34" s="34" t="s">
        <v>42</v>
      </c>
    </row>
    <row r="35" customFormat="false" ht="15" hidden="false" customHeight="false" outlineLevel="0" collapsed="false">
      <c r="A35" s="28" t="s">
        <v>47</v>
      </c>
      <c r="B35" s="29" t="n">
        <v>0</v>
      </c>
      <c r="C35" s="29" t="n">
        <v>504</v>
      </c>
      <c r="D35" s="30" t="n">
        <v>0</v>
      </c>
      <c r="E35" s="29" t="n">
        <v>250</v>
      </c>
      <c r="F35" s="31" t="n">
        <f aca="false">B35*E35</f>
        <v>0</v>
      </c>
      <c r="G35" s="32" t="n">
        <f aca="false">F35/2000</f>
        <v>0</v>
      </c>
      <c r="H35" s="33" t="n">
        <f aca="false">G35*$B$3</f>
        <v>0</v>
      </c>
      <c r="I35" s="33" t="n">
        <f aca="false">G35*$D$3</f>
        <v>0</v>
      </c>
      <c r="J35" s="34" t="s">
        <v>42</v>
      </c>
    </row>
    <row r="36" customFormat="false" ht="15" hidden="false" customHeight="false" outlineLevel="0" collapsed="false">
      <c r="A36" s="28" t="s">
        <v>48</v>
      </c>
      <c r="B36" s="29" t="n">
        <v>0</v>
      </c>
      <c r="C36" s="29" t="n">
        <v>476</v>
      </c>
      <c r="D36" s="30" t="n">
        <v>0</v>
      </c>
      <c r="E36" s="29" t="n">
        <v>10100</v>
      </c>
      <c r="F36" s="31" t="n">
        <f aca="false">B36*E36</f>
        <v>0</v>
      </c>
      <c r="G36" s="32" t="n">
        <f aca="false">F36/2000</f>
        <v>0</v>
      </c>
      <c r="H36" s="33" t="n">
        <f aca="false">G36*$B$3</f>
        <v>0</v>
      </c>
      <c r="I36" s="33" t="n">
        <f aca="false">G36*$D$3</f>
        <v>0</v>
      </c>
      <c r="J36" s="34" t="s">
        <v>42</v>
      </c>
    </row>
    <row r="37" customFormat="false" ht="15" hidden="false" customHeight="false" outlineLevel="0" collapsed="false">
      <c r="A37" s="28" t="s">
        <v>49</v>
      </c>
      <c r="B37" s="29" t="n">
        <v>0</v>
      </c>
      <c r="C37" s="29" t="n">
        <v>510</v>
      </c>
      <c r="D37" s="30" t="n">
        <v>0</v>
      </c>
      <c r="E37" s="29" t="n">
        <v>10464</v>
      </c>
      <c r="F37" s="31" t="n">
        <f aca="false">B37*E37</f>
        <v>0</v>
      </c>
      <c r="G37" s="32" t="n">
        <f aca="false">F37/2000</f>
        <v>0</v>
      </c>
      <c r="H37" s="33" t="n">
        <f aca="false">G37*$B$3</f>
        <v>0</v>
      </c>
      <c r="I37" s="33" t="n">
        <f aca="false">G37*$D$3</f>
        <v>0</v>
      </c>
      <c r="J37" s="34" t="s">
        <v>42</v>
      </c>
    </row>
    <row r="38" customFormat="false" ht="15" hidden="false" customHeight="false" outlineLevel="0" collapsed="false">
      <c r="A38" s="28" t="s">
        <v>50</v>
      </c>
      <c r="B38" s="29" t="n">
        <v>0</v>
      </c>
      <c r="C38" s="29" t="n">
        <v>439</v>
      </c>
      <c r="D38" s="30" t="n">
        <v>0</v>
      </c>
      <c r="E38" s="29" t="n">
        <v>3213</v>
      </c>
      <c r="F38" s="31" t="n">
        <f aca="false">B38*E38</f>
        <v>0</v>
      </c>
      <c r="G38" s="32" t="n">
        <f aca="false">F38/2000</f>
        <v>0</v>
      </c>
      <c r="H38" s="33" t="n">
        <f aca="false">G38*$B$3</f>
        <v>0</v>
      </c>
      <c r="I38" s="33" t="n">
        <f aca="false">G38*$D$3</f>
        <v>0</v>
      </c>
      <c r="J38" s="34" t="s">
        <v>42</v>
      </c>
    </row>
    <row r="39" customFormat="false" ht="15" hidden="false" customHeight="false" outlineLevel="0" collapsed="false">
      <c r="A39" s="28" t="s">
        <v>51</v>
      </c>
      <c r="B39" s="29" t="n">
        <v>0</v>
      </c>
      <c r="C39" s="29" t="n">
        <v>513</v>
      </c>
      <c r="D39" s="30" t="n">
        <v>0</v>
      </c>
      <c r="E39" s="29" t="n">
        <v>5844</v>
      </c>
      <c r="F39" s="31" t="n">
        <f aca="false">B39*E39</f>
        <v>0</v>
      </c>
      <c r="G39" s="32" t="n">
        <f aca="false">F39/2000</f>
        <v>0</v>
      </c>
      <c r="H39" s="33" t="n">
        <f aca="false">G39*$B$3</f>
        <v>0</v>
      </c>
      <c r="I39" s="33" t="n">
        <f aca="false">G39*$D$3</f>
        <v>0</v>
      </c>
      <c r="J39" s="34" t="s">
        <v>42</v>
      </c>
    </row>
    <row r="40" customFormat="false" ht="15" hidden="false" customHeight="false" outlineLevel="0" collapsed="false">
      <c r="A40" s="28" t="s">
        <v>52</v>
      </c>
      <c r="B40" s="29" t="n">
        <v>0</v>
      </c>
      <c r="C40" s="29" t="n">
        <v>429</v>
      </c>
      <c r="D40" s="30" t="n">
        <v>0</v>
      </c>
      <c r="E40" s="29" t="n">
        <v>5020</v>
      </c>
      <c r="F40" s="31" t="n">
        <f aca="false">B40*E40</f>
        <v>0</v>
      </c>
      <c r="G40" s="32" t="n">
        <f aca="false">F40/2000</f>
        <v>0</v>
      </c>
      <c r="H40" s="33" t="n">
        <f aca="false">G40*$B$3</f>
        <v>0</v>
      </c>
      <c r="I40" s="33" t="n">
        <f aca="false">G40*$D$3</f>
        <v>0</v>
      </c>
      <c r="J40" s="34" t="s">
        <v>42</v>
      </c>
    </row>
    <row r="41" customFormat="false" ht="15" hidden="false" customHeight="false" outlineLevel="0" collapsed="false">
      <c r="A41" s="28" t="s">
        <v>53</v>
      </c>
      <c r="B41" s="29" t="n">
        <v>0</v>
      </c>
      <c r="C41" s="29" t="n">
        <v>610</v>
      </c>
      <c r="D41" s="30" t="n">
        <v>0</v>
      </c>
      <c r="E41" s="29" t="n">
        <v>2000</v>
      </c>
      <c r="F41" s="31" t="n">
        <f aca="false">B41*E41</f>
        <v>0</v>
      </c>
      <c r="G41" s="32" t="n">
        <f aca="false">F41/2000</f>
        <v>0</v>
      </c>
      <c r="H41" s="33" t="n">
        <f aca="false">G41*$B$3</f>
        <v>0</v>
      </c>
      <c r="I41" s="33" t="n">
        <f aca="false">G41*$D$3</f>
        <v>0</v>
      </c>
      <c r="J41" s="34" t="s">
        <v>42</v>
      </c>
    </row>
    <row r="42" customFormat="false" ht="15" hidden="false" customHeight="false" outlineLevel="0" collapsed="false">
      <c r="A42" s="28" t="s">
        <v>54</v>
      </c>
      <c r="B42" s="29" t="n">
        <v>0</v>
      </c>
      <c r="C42" s="29" t="n">
        <v>656</v>
      </c>
      <c r="D42" s="30" t="n">
        <v>0</v>
      </c>
      <c r="E42" s="29" t="n">
        <v>8000</v>
      </c>
      <c r="F42" s="31" t="n">
        <f aca="false">B42*E42</f>
        <v>0</v>
      </c>
      <c r="G42" s="32" t="n">
        <f aca="false">F42/2000</f>
        <v>0</v>
      </c>
      <c r="H42" s="33" t="n">
        <f aca="false">G42*$B$3</f>
        <v>0</v>
      </c>
      <c r="I42" s="33" t="n">
        <f aca="false">G42*$D$3</f>
        <v>0</v>
      </c>
      <c r="J42" s="34" t="s">
        <v>42</v>
      </c>
    </row>
    <row r="43" customFormat="false" ht="15" hidden="false" customHeight="false" outlineLevel="0" collapsed="false">
      <c r="A43" s="35" t="s">
        <v>55</v>
      </c>
      <c r="B43" s="36" t="n">
        <f aca="false">AVERAGE(B5:B42)</f>
        <v>43.3947368421053</v>
      </c>
      <c r="C43" s="37"/>
      <c r="D43" s="37"/>
      <c r="E43" s="36" t="n">
        <f aca="false">SUM(E5:E42)</f>
        <v>359770</v>
      </c>
      <c r="F43" s="36" t="n">
        <f aca="false">SUM(F5:F42)</f>
        <v>50577219</v>
      </c>
      <c r="G43" s="38" t="n">
        <f aca="false">SUM(G5:G42)</f>
        <v>25288.6095</v>
      </c>
      <c r="H43" s="39" t="n">
        <f aca="false">SUM(H5:H42)</f>
        <v>1593182.3985</v>
      </c>
      <c r="I43" s="39" t="n">
        <f aca="false">SUM(I5:I42)</f>
        <v>2908190.0925</v>
      </c>
      <c r="J43" s="37"/>
    </row>
    <row r="45" customFormat="false" ht="15" hidden="false" customHeight="false" outlineLevel="0" collapsed="false">
      <c r="A45" s="40" t="s">
        <v>56</v>
      </c>
    </row>
    <row r="46" customFormat="false" ht="15" hidden="false" customHeight="false" outlineLevel="0" collapsed="false">
      <c r="A46" s="41"/>
      <c r="B46" s="42" t="s">
        <v>57</v>
      </c>
      <c r="C46" s="42"/>
      <c r="D46" s="42"/>
      <c r="E46" s="42"/>
    </row>
    <row r="47" customFormat="false" ht="15" hidden="false" customHeight="false" outlineLevel="0" collapsed="false">
      <c r="A47" s="43"/>
      <c r="B47" s="42" t="s">
        <v>58</v>
      </c>
      <c r="C47" s="42"/>
      <c r="D47" s="42"/>
      <c r="E47" s="42"/>
    </row>
    <row r="49" customFormat="false" ht="15" hidden="false" customHeight="false" outlineLevel="0" collapsed="false">
      <c r="A49" s="40" t="s">
        <v>59</v>
      </c>
    </row>
    <row r="50" customFormat="false" ht="15" hidden="false" customHeight="false" outlineLevel="0" collapsed="false">
      <c r="A50" s="44" t="s">
        <v>60</v>
      </c>
      <c r="B50" s="44"/>
      <c r="C50" s="44"/>
      <c r="D50" s="44"/>
      <c r="E50" s="44"/>
      <c r="F50" s="44"/>
      <c r="G50" s="44"/>
      <c r="H50" s="44"/>
      <c r="I50" s="44"/>
      <c r="J50" s="44"/>
    </row>
    <row r="51" customFormat="false" ht="15" hidden="false" customHeight="false" outlineLevel="0" collapsed="false">
      <c r="A51" s="44" t="s">
        <v>61</v>
      </c>
      <c r="B51" s="44"/>
      <c r="C51" s="44"/>
      <c r="D51" s="44"/>
      <c r="E51" s="44"/>
      <c r="F51" s="44"/>
      <c r="G51" s="44"/>
      <c r="H51" s="44"/>
      <c r="I51" s="44"/>
      <c r="J51" s="44"/>
    </row>
    <row r="52" customFormat="false" ht="15" hidden="false" customHeight="false" outlineLevel="0" collapsed="false">
      <c r="A52" s="44" t="s">
        <v>62</v>
      </c>
      <c r="B52" s="44"/>
      <c r="C52" s="44"/>
      <c r="D52" s="44"/>
      <c r="E52" s="44"/>
      <c r="F52" s="44"/>
      <c r="G52" s="44"/>
      <c r="H52" s="44"/>
      <c r="I52" s="44"/>
      <c r="J52" s="44"/>
    </row>
    <row r="53" customFormat="false" ht="15" hidden="false" customHeight="false" outlineLevel="0" collapsed="false">
      <c r="A53" s="44" t="s">
        <v>63</v>
      </c>
      <c r="B53" s="44"/>
      <c r="C53" s="44"/>
      <c r="D53" s="44"/>
      <c r="E53" s="44"/>
      <c r="F53" s="44"/>
      <c r="G53" s="44"/>
      <c r="H53" s="44"/>
      <c r="I53" s="44"/>
      <c r="J53" s="44"/>
    </row>
  </sheetData>
  <mergeCells count="9">
    <mergeCell ref="A1:J1"/>
    <mergeCell ref="A2:J2"/>
    <mergeCell ref="E3:J3"/>
    <mergeCell ref="B46:E46"/>
    <mergeCell ref="B47:E47"/>
    <mergeCell ref="A50:J50"/>
    <mergeCell ref="A51:J51"/>
    <mergeCell ref="A52:J52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2026-05-05T03:28:17Z</dcterms:created>
  <dc:creator>openpyxl</dc:creator>
  <dc:description/>
  <dc:language>en-US</dc:language>
  <cp:lastModifiedBy/>
  <dcterms:modified xsi:type="dcterms:W3CDTF">2026-05-05T03:28:17Z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